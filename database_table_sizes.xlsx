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/Documents/openalex_database/python/OA_clone/"/>
    </mc:Choice>
  </mc:AlternateContent>
  <xr:revisionPtr revIDLastSave="0" documentId="8_{70401B1C-59B8-A04A-AC1F-3FCABC2788C1}" xr6:coauthVersionLast="47" xr6:coauthVersionMax="47" xr10:uidLastSave="{00000000-0000-0000-0000-000000000000}"/>
  <bookViews>
    <workbookView xWindow="21820" yWindow="500" windowWidth="28040" windowHeight="20100" xr2:uid="{83487598-938D-ED45-BBE2-155BAC796061}"/>
  </bookViews>
  <sheets>
    <sheet name="database_table_sizes" sheetId="1" r:id="rId1"/>
  </sheets>
  <calcPr calcId="0"/>
</workbook>
</file>

<file path=xl/calcChain.xml><?xml version="1.0" encoding="utf-8"?>
<calcChain xmlns="http://schemas.openxmlformats.org/spreadsheetml/2006/main">
  <c r="H10" i="1" l="1"/>
  <c r="C10" i="1"/>
  <c r="J33" i="1"/>
  <c r="F33" i="1"/>
  <c r="F30" i="1"/>
  <c r="F29" i="1"/>
  <c r="F28" i="1"/>
  <c r="F25" i="1"/>
  <c r="F16" i="1"/>
  <c r="J25" i="1"/>
  <c r="J16" i="1"/>
  <c r="I30" i="1"/>
  <c r="J30" i="1" s="1"/>
  <c r="I29" i="1"/>
  <c r="J29" i="1" s="1"/>
  <c r="I28" i="1"/>
  <c r="J28" i="1" s="1"/>
  <c r="D10" i="1"/>
  <c r="D30" i="1"/>
  <c r="D29" i="1"/>
  <c r="D28" i="1"/>
  <c r="D25" i="1"/>
  <c r="D16" i="1"/>
</calcChain>
</file>

<file path=xl/sharedStrings.xml><?xml version="1.0" encoding="utf-8"?>
<sst xmlns="http://schemas.openxmlformats.org/spreadsheetml/2006/main" count="41" uniqueCount="41">
  <si>
    <t>table</t>
  </si>
  <si>
    <t>row_count</t>
  </si>
  <si>
    <t>alternate_ids</t>
  </si>
  <si>
    <t>apc</t>
  </si>
  <si>
    <t>author_concepts</t>
  </si>
  <si>
    <t>author_institutions</t>
  </si>
  <si>
    <t>author_name_variants</t>
  </si>
  <si>
    <t>author_topics</t>
  </si>
  <si>
    <t>authors</t>
  </si>
  <si>
    <t>authors_works_by_year</t>
  </si>
  <si>
    <t>authorship</t>
  </si>
  <si>
    <t>citations_by_year</t>
  </si>
  <si>
    <t>concepts</t>
  </si>
  <si>
    <t>data_modification_log</t>
  </si>
  <si>
    <t>funders</t>
  </si>
  <si>
    <t>institution_geo</t>
  </si>
  <si>
    <t>institution_hierarchy</t>
  </si>
  <si>
    <t>institutions</t>
  </si>
  <si>
    <t>publishers</t>
  </si>
  <si>
    <t>referenced_works</t>
  </si>
  <si>
    <t>related_works</t>
  </si>
  <si>
    <t>search_index</t>
  </si>
  <si>
    <t>search_metadata</t>
  </si>
  <si>
    <t>source_publishers</t>
  </si>
  <si>
    <t>sources</t>
  </si>
  <si>
    <t>topic_hierarchy</t>
  </si>
  <si>
    <t>topics</t>
  </si>
  <si>
    <t>work_concepts</t>
  </si>
  <si>
    <t>work_funders</t>
  </si>
  <si>
    <t>work_keywords</t>
  </si>
  <si>
    <t>work_sources</t>
  </si>
  <si>
    <t>work_topics</t>
  </si>
  <si>
    <t>works</t>
  </si>
  <si>
    <t>Records</t>
  </si>
  <si>
    <t>% Rows</t>
  </si>
  <si>
    <t>Catgories</t>
  </si>
  <si>
    <t>Start</t>
  </si>
  <si>
    <t>End</t>
  </si>
  <si>
    <t>Diff Seconds</t>
  </si>
  <si>
    <t>Records/sec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</si>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</sst>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22" fontId="0" fillId="0" borderId="0" xfId="0" applyNumberFormat="1"/>
    <xf numFmtId="2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C9AEC-9CBE-3A49-99EB-292537038A92}">
  <dimension ref="A1:J33"/>
  <sheetViews>
    <sheetView tabSelected="1" workbookViewId="0">
      <selection activeCell="B10" sqref="B10"/>
    </sheetView>
  </sheetViews>
  <sheetFormatPr baseColWidth="10" defaultRowHeight="16" x14ac:dyDescent="0.2"/>
  <cols>
    <col min="1" max="1" width="20" bestFit="1" customWidth="1"/>
    <col min="2" max="2" width="12.6640625" bestFit="1" customWidth="1"/>
    <col min="3" max="3" width="11.1640625" bestFit="1" customWidth="1"/>
    <col min="7" max="9" width="15.33203125" bestFit="1" customWidth="1"/>
  </cols>
  <sheetData>
    <row r="1" spans="1:10" x14ac:dyDescent="0.2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40</v>
      </c>
      <c r="G1" t="s">
        <v>36</v>
      </c>
      <c r="H1" t="s">
        <v>37</v>
      </c>
      <c r="I1" t="s">
        <v>38</v>
      </c>
      <c r="J1" t="s">
        <v>39</v>
      </c>
    </row>
    <row r="2" spans="1:10" x14ac:dyDescent="0.2">
      <c r="A2" t="s">
        <v>2</v>
      </c>
      <c r="B2" s="5">
        <v>0</v>
      </c>
      <c r="C2" s="5"/>
      <c r="E2" s="5"/>
    </row>
    <row r="3" spans="1:10" x14ac:dyDescent="0.2">
      <c r="A3" t="s">
        <v>3</v>
      </c>
      <c r="B3" s="5">
        <v>0</v>
      </c>
      <c r="C3" s="5"/>
      <c r="E3" s="5"/>
    </row>
    <row r="4" spans="1:10" x14ac:dyDescent="0.2">
      <c r="A4" t="s">
        <v>4</v>
      </c>
      <c r="B4" s="5">
        <v>1352314997</v>
      </c>
      <c r="C4" s="5"/>
      <c r="E4" s="5"/>
    </row>
    <row r="5" spans="1:10" x14ac:dyDescent="0.2">
      <c r="A5" t="s">
        <v>5</v>
      </c>
      <c r="B5" s="5">
        <v>98195258</v>
      </c>
      <c r="C5" s="5"/>
      <c r="E5" s="5"/>
    </row>
    <row r="6" spans="1:10" x14ac:dyDescent="0.2">
      <c r="A6" t="s">
        <v>6</v>
      </c>
      <c r="B6" s="5">
        <v>0</v>
      </c>
      <c r="C6" s="5"/>
      <c r="E6" s="5"/>
    </row>
    <row r="7" spans="1:10" x14ac:dyDescent="0.2">
      <c r="A7" t="s">
        <v>7</v>
      </c>
      <c r="B7" s="5">
        <v>520074500</v>
      </c>
      <c r="C7" s="5"/>
      <c r="E7" s="5"/>
    </row>
    <row r="8" spans="1:10" x14ac:dyDescent="0.2">
      <c r="A8" t="s">
        <v>8</v>
      </c>
      <c r="B8" s="5">
        <v>102744309</v>
      </c>
      <c r="C8" s="5"/>
      <c r="E8" s="5"/>
    </row>
    <row r="9" spans="1:10" x14ac:dyDescent="0.2">
      <c r="A9" t="s">
        <v>9</v>
      </c>
      <c r="B9" s="5">
        <v>338750875</v>
      </c>
      <c r="C9" s="5"/>
      <c r="E9" s="5"/>
    </row>
    <row r="10" spans="1:10" x14ac:dyDescent="0.2">
      <c r="A10" t="s">
        <v>10</v>
      </c>
      <c r="B10" s="5">
        <v>579473516</v>
      </c>
      <c r="C10" s="5">
        <f>E10*F33</f>
        <v>123373680.70213962</v>
      </c>
      <c r="D10" s="1">
        <f>C10/B10</f>
        <v>0.21290650443141151</v>
      </c>
      <c r="E10" s="5">
        <v>72789241</v>
      </c>
      <c r="G10" s="2">
        <v>45980.797222222223</v>
      </c>
      <c r="H10" s="2">
        <f>G10+(80/24)</f>
        <v>45984.130555555559</v>
      </c>
    </row>
    <row r="11" spans="1:10" x14ac:dyDescent="0.2">
      <c r="A11" t="s">
        <v>11</v>
      </c>
      <c r="B11" s="5">
        <v>260488637</v>
      </c>
      <c r="C11" s="5"/>
      <c r="E11" s="5"/>
    </row>
    <row r="12" spans="1:10" x14ac:dyDescent="0.2">
      <c r="A12" t="s">
        <v>12</v>
      </c>
      <c r="B12" s="5">
        <v>65073</v>
      </c>
      <c r="C12" s="5"/>
      <c r="E12" s="5"/>
    </row>
    <row r="13" spans="1:10" x14ac:dyDescent="0.2">
      <c r="A13" t="s">
        <v>13</v>
      </c>
      <c r="B13" s="5">
        <v>0</v>
      </c>
      <c r="C13" s="5"/>
      <c r="E13" s="5"/>
    </row>
    <row r="14" spans="1:10" x14ac:dyDescent="0.2">
      <c r="A14" t="s">
        <v>14</v>
      </c>
      <c r="B14" s="5">
        <v>32437</v>
      </c>
      <c r="C14" s="5"/>
      <c r="E14" s="5"/>
    </row>
    <row r="15" spans="1:10" x14ac:dyDescent="0.2">
      <c r="A15" t="s">
        <v>15</v>
      </c>
      <c r="B15" s="5">
        <v>117731</v>
      </c>
      <c r="C15" s="5"/>
      <c r="E15" s="5"/>
    </row>
    <row r="16" spans="1:10" x14ac:dyDescent="0.2">
      <c r="A16" t="s">
        <v>16</v>
      </c>
      <c r="B16" s="5">
        <v>32481</v>
      </c>
      <c r="C16" s="5">
        <v>7964</v>
      </c>
      <c r="D16" s="1">
        <f>C16/B16</f>
        <v>0.24518949539730919</v>
      </c>
      <c r="E16" s="5">
        <v>1641</v>
      </c>
      <c r="F16" s="3">
        <f>C16/E16</f>
        <v>4.8531383302864111</v>
      </c>
      <c r="G16" s="2">
        <v>45979.747071759259</v>
      </c>
      <c r="H16" s="2">
        <v>45979.747083333335</v>
      </c>
      <c r="I16">
        <v>1</v>
      </c>
      <c r="J16">
        <f>C16/I16</f>
        <v>7964</v>
      </c>
    </row>
    <row r="17" spans="1:10" x14ac:dyDescent="0.2">
      <c r="A17" t="s">
        <v>17</v>
      </c>
      <c r="B17" s="5">
        <v>117731</v>
      </c>
      <c r="C17" s="5"/>
      <c r="E17" s="5"/>
    </row>
    <row r="18" spans="1:10" x14ac:dyDescent="0.2">
      <c r="A18" t="s">
        <v>18</v>
      </c>
      <c r="B18" s="5">
        <v>10741</v>
      </c>
      <c r="C18" s="5"/>
      <c r="E18" s="5"/>
    </row>
    <row r="19" spans="1:10" x14ac:dyDescent="0.2">
      <c r="A19" t="s">
        <v>19</v>
      </c>
      <c r="B19" s="5">
        <v>1624872598</v>
      </c>
      <c r="C19" s="5"/>
      <c r="E19" s="5"/>
    </row>
    <row r="20" spans="1:10" x14ac:dyDescent="0.2">
      <c r="A20" t="s">
        <v>20</v>
      </c>
      <c r="B20" s="5">
        <v>2019557638</v>
      </c>
      <c r="C20" s="5"/>
      <c r="E20" s="5"/>
    </row>
    <row r="21" spans="1:10" x14ac:dyDescent="0.2">
      <c r="A21" t="s">
        <v>21</v>
      </c>
      <c r="B21" s="5">
        <v>0</v>
      </c>
      <c r="C21" s="5"/>
      <c r="E21" s="5"/>
    </row>
    <row r="22" spans="1:10" x14ac:dyDescent="0.2">
      <c r="A22" t="s">
        <v>22</v>
      </c>
      <c r="B22" s="5">
        <v>0</v>
      </c>
      <c r="C22" s="5"/>
      <c r="E22" s="5"/>
    </row>
    <row r="23" spans="1:10" x14ac:dyDescent="0.2">
      <c r="A23" t="s">
        <v>23</v>
      </c>
      <c r="B23" s="5">
        <v>158270</v>
      </c>
      <c r="C23" s="5"/>
      <c r="E23" s="5"/>
    </row>
    <row r="24" spans="1:10" x14ac:dyDescent="0.2">
      <c r="A24" t="s">
        <v>24</v>
      </c>
      <c r="B24" s="5">
        <v>260787</v>
      </c>
      <c r="C24" s="5"/>
      <c r="E24" s="5"/>
    </row>
    <row r="25" spans="1:10" x14ac:dyDescent="0.2">
      <c r="A25" t="s">
        <v>25</v>
      </c>
      <c r="B25" s="5">
        <v>13548</v>
      </c>
      <c r="C25" s="5">
        <v>8754</v>
      </c>
      <c r="D25" s="1">
        <f>C25/B25</f>
        <v>0.64614703277236496</v>
      </c>
      <c r="E25" s="5">
        <v>248</v>
      </c>
      <c r="F25" s="3">
        <f>C25/E25</f>
        <v>35.298387096774192</v>
      </c>
      <c r="G25" s="2">
        <v>45979.746550925927</v>
      </c>
      <c r="H25" s="2">
        <v>45979.746562499997</v>
      </c>
      <c r="I25">
        <v>1</v>
      </c>
      <c r="J25">
        <f>C25/I25</f>
        <v>8754</v>
      </c>
    </row>
    <row r="26" spans="1:10" x14ac:dyDescent="0.2">
      <c r="A26" t="s">
        <v>26</v>
      </c>
      <c r="B26" s="5">
        <v>4516</v>
      </c>
      <c r="C26" s="5"/>
      <c r="E26" s="5"/>
    </row>
    <row r="27" spans="1:10" x14ac:dyDescent="0.2">
      <c r="A27" t="s">
        <v>27</v>
      </c>
      <c r="B27" s="5">
        <v>1802252766</v>
      </c>
      <c r="C27" s="5"/>
      <c r="E27" s="5"/>
    </row>
    <row r="28" spans="1:10" x14ac:dyDescent="0.2">
      <c r="A28" t="s">
        <v>28</v>
      </c>
      <c r="B28" s="5">
        <v>7832484</v>
      </c>
      <c r="C28" s="5">
        <v>4880352</v>
      </c>
      <c r="D28" s="1">
        <f t="shared" ref="D28:D30" si="0">C28/B28</f>
        <v>0.62309121857127314</v>
      </c>
      <c r="E28" s="5">
        <v>2879359</v>
      </c>
      <c r="F28" s="3">
        <f t="shared" ref="F28:F30" si="1">C28/E28</f>
        <v>1.6949439093909444</v>
      </c>
      <c r="G28" s="2">
        <v>45979.747858796298</v>
      </c>
      <c r="H28" s="2">
        <v>45979.779803240737</v>
      </c>
      <c r="I28">
        <f>46*60</f>
        <v>2760</v>
      </c>
      <c r="J28" s="4">
        <f t="shared" ref="J28:J30" si="2">C28/I28</f>
        <v>1768.2434782608696</v>
      </c>
    </row>
    <row r="29" spans="1:10" x14ac:dyDescent="0.2">
      <c r="A29" t="s">
        <v>29</v>
      </c>
      <c r="B29" s="5">
        <v>196262421</v>
      </c>
      <c r="C29" s="5">
        <v>49874</v>
      </c>
      <c r="D29" s="1">
        <f t="shared" si="0"/>
        <v>2.5411894822188096E-4</v>
      </c>
      <c r="E29" s="5">
        <v>49874</v>
      </c>
      <c r="F29" s="3">
        <f t="shared" si="1"/>
        <v>1</v>
      </c>
      <c r="G29" s="2">
        <v>45979.787361111114</v>
      </c>
      <c r="H29" s="2">
        <v>45979.792430555557</v>
      </c>
      <c r="I29">
        <f>7*60</f>
        <v>420</v>
      </c>
      <c r="J29" s="4">
        <f t="shared" si="2"/>
        <v>118.74761904761905</v>
      </c>
    </row>
    <row r="30" spans="1:10" x14ac:dyDescent="0.2">
      <c r="A30" t="s">
        <v>30</v>
      </c>
      <c r="B30" s="5">
        <v>224255231</v>
      </c>
      <c r="C30" s="5">
        <v>6337513</v>
      </c>
      <c r="D30" s="1">
        <f t="shared" si="0"/>
        <v>2.8260268319003003E-2</v>
      </c>
      <c r="E30" s="5">
        <v>4612513</v>
      </c>
      <c r="F30" s="3">
        <f t="shared" si="1"/>
        <v>1.3739826857940562</v>
      </c>
      <c r="G30" s="2">
        <v>45979.805763888886</v>
      </c>
      <c r="H30" s="2">
        <v>45980.012523148151</v>
      </c>
      <c r="I30">
        <f>5*60*60</f>
        <v>18000</v>
      </c>
      <c r="J30" s="4">
        <f t="shared" si="2"/>
        <v>352.08405555555555</v>
      </c>
    </row>
    <row r="31" spans="1:10" x14ac:dyDescent="0.2">
      <c r="A31" t="s">
        <v>31</v>
      </c>
      <c r="B31" s="5">
        <v>420469667</v>
      </c>
      <c r="C31" s="5"/>
      <c r="E31" s="5"/>
    </row>
    <row r="32" spans="1:10" x14ac:dyDescent="0.2">
      <c r="A32" t="s">
        <v>32</v>
      </c>
      <c r="B32" s="5">
        <v>221554374</v>
      </c>
      <c r="C32" s="5"/>
      <c r="E32" s="5"/>
    </row>
    <row r="33" spans="6:10" x14ac:dyDescent="0.2">
      <c r="F33" s="3">
        <f>MEDIAN(F28:F30,F25,F16)</f>
        <v>1.6949439093909444</v>
      </c>
      <c r="J33" s="3">
        <f>MEDIAN(J28:J30,J25,J16)</f>
        <v>1768.2434782608696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database_table_sizes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Black</dc:creator>
  <cp:lastModifiedBy>Lucas Black</cp:lastModifiedBy>
  <dcterms:created xsi:type="dcterms:W3CDTF">2025-11-23T12:00:09Z</dcterms:created>
  <dcterms:modified xsi:type="dcterms:W3CDTF">2025-11-23T12:00:09Z</dcterms:modified>
</cp:coreProperties>
</file>